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l\Desktop\Data_Analysis_SET_B_10861\"/>
    </mc:Choice>
  </mc:AlternateContent>
  <xr:revisionPtr revIDLastSave="0" documentId="13_ncr:1_{421D8209-6824-4A22-BA69-8B9537E2FE53}" xr6:coauthVersionLast="47" xr6:coauthVersionMax="47" xr10:uidLastSave="{00000000-0000-0000-0000-000000000000}"/>
  <bookViews>
    <workbookView xWindow="-108" yWindow="-108" windowWidth="23256" windowHeight="13896" activeTab="3" xr2:uid="{71C449CB-37DF-4EDF-8FFE-557F6C0506EC}"/>
  </bookViews>
  <sheets>
    <sheet name="Raw Sheet" sheetId="2" r:id="rId1"/>
    <sheet name="Lookup sheet" sheetId="3" r:id="rId2"/>
    <sheet name="clean sheet" sheetId="1" r:id="rId3"/>
    <sheet name="Summary Sheet" sheetId="4" r:id="rId4"/>
  </sheets>
  <definedNames>
    <definedName name="ExternalData_1" localSheetId="1" hidden="1">'Lookup sheet'!$A$1:$C$5</definedName>
    <definedName name="ExternalData_1" localSheetId="0" hidden="1">'Raw Sheet'!$A$1:$F$14</definedName>
    <definedName name="ExternalData_2" localSheetId="2" hidden="1">'clean sheet'!$A$1:$F$13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4" i="4"/>
  <c r="B3" i="4"/>
  <c r="H2" i="1"/>
  <c r="H3" i="1"/>
  <c r="H4" i="1"/>
  <c r="H5" i="1"/>
  <c r="H6" i="1"/>
  <c r="H7" i="1"/>
  <c r="H8" i="1"/>
  <c r="H9" i="1"/>
  <c r="H10" i="1"/>
  <c r="H11" i="1"/>
  <c r="H12" i="1"/>
  <c r="H13" i="1"/>
  <c r="G2" i="1"/>
  <c r="G3" i="1"/>
  <c r="G4" i="1"/>
  <c r="G5" i="1"/>
  <c r="G6" i="1"/>
  <c r="G7" i="1"/>
  <c r="G8" i="1"/>
  <c r="G9" i="1"/>
  <c r="G10" i="1"/>
  <c r="G11" i="1"/>
  <c r="G12" i="1"/>
  <c r="G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AC80D-E30E-4EFD-9ABE-35265F314AF8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  <connection id="2" xr16:uid="{FCE13DC0-F852-4635-9D6A-1F24BE93E4E0}" keepAlive="1" name="Query - tickets" description="Connection to the 'tickets' query in the workbook." type="5" refreshedVersion="8" background="1" saveData="1">
    <dbPr connection="Provider=Microsoft.Mashup.OleDb.1;Data Source=$Workbook$;Location=tickets;Extended Properties=&quot;&quot;" command="SELECT * FROM [tickets]"/>
  </connection>
  <connection id="3" xr16:uid="{A8961615-BDAB-4A4C-A433-98DA21E1B486}" keepAlive="1" name="Query - tickets (2)" description="Connection to the 'tickets (2)' query in the workbook." type="5" refreshedVersion="8" background="1" saveData="1">
    <dbPr connection="Provider=Microsoft.Mashup.OleDb.1;Data Source=$Workbook$;Location=&quot;tickets (2)&quot;;Extended Properties=&quot;&quot;" command="SELECT * FROM [tickets (2)]"/>
  </connection>
  <connection id="4" xr16:uid="{DAF75CB7-7AB3-48F3-8604-7CE609053269}" keepAlive="1" name="Query - tickets (3)" description="Connection to the 'tickets (3)' query in the workbook." type="5" refreshedVersion="8" background="1" saveData="1">
    <dbPr connection="Provider=Microsoft.Mashup.OleDb.1;Data Source=$Workbook$;Location=&quot;tickets (3)&quot;;Extended Properties=&quot;&quot;" command="SELECT * FROM [tickets (3)]"/>
  </connection>
</connections>
</file>

<file path=xl/sharedStrings.xml><?xml version="1.0" encoding="utf-8"?>
<sst xmlns="http://schemas.openxmlformats.org/spreadsheetml/2006/main" count="119" uniqueCount="30">
  <si>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</si>
  <si>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</si>
  <si>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</si>
  <si>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</si>
  <si>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</si>
  <si>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</si>
  <si>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</si>
  <si>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</si>
  <si>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</si>
  <si>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</si>
  <si>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</si>
  <si>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</si>
  <si>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</si>
  <si>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</si>
  <si>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</si>
  <si>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</si>
  <si>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</si>
  <si>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</si>
  <si>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</si>
  <si>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</si>
  <si>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</si>
  <si>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</si>
  <si>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</si>
  <si>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</si>
  <si>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breach_flag</t>
  </si>
  <si>
    <t>Breached Tickets_hours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</si>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</sst>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Support Quality Analysis.xlsx]Summary Sheet!PivotTable1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Sheet'!$B$7:$B$8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'Summary Sheet'!$B$9:$B$11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3-47B1-B10A-4BFD3830FFCD}"/>
            </c:ext>
          </c:extLst>
        </c:ser>
        <c:ser>
          <c:idx val="1"/>
          <c:order val="1"/>
          <c:tx>
            <c:strRef>
              <c:f>'Summary Sheet'!$C$7:$C$8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'Summary Sheet'!$C$9:$C$11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3-47B1-B10A-4BFD3830FFCD}"/>
            </c:ext>
          </c:extLst>
        </c:ser>
        <c:ser>
          <c:idx val="2"/>
          <c:order val="2"/>
          <c:tx>
            <c:strRef>
              <c:f>'Summary Sheet'!$D$7:$D$8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Sheet'!$A$9:$A$11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'Summary Sheet'!$D$9:$D$11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23-47B1-B10A-4BFD3830F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063423"/>
        <c:axId val="314217679"/>
      </c:barChart>
      <c:catAx>
        <c:axId val="5880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17679"/>
        <c:crosses val="autoZero"/>
        <c:auto val="1"/>
        <c:lblAlgn val="ctr"/>
        <c:lblOffset val="100"/>
        <c:noMultiLvlLbl val="0"/>
      </c:catAx>
      <c:valAx>
        <c:axId val="3142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5</xdr:row>
      <xdr:rowOff>171450</xdr:rowOff>
    </xdr:from>
    <xdr:to>
      <xdr:col>13</xdr:col>
      <xdr:colOff>327660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D7194-93A5-37D8-77E1-C400367BA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l" refreshedDate="46298.48091111111" createdVersion="8" refreshedVersion="8" minRefreshableVersion="3" recordCount="12" xr:uid="{F2EAB427-6550-4EE4-97D3-3AB23E233FC3}">
  <cacheSource type="worksheet">
    <worksheetSource name="tickets5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56002-AF7D-4D78-86EA-05E3535B76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:E11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4D6386-34E3-4D73-9D03-E1F79055294C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3FBCAC-DBB2-4B51-972E-BAA65500388C}" autoFormatId="16" applyNumberFormats="0" applyBorderFormats="0" applyFontFormats="0" applyPatternFormats="0" applyAlignmentFormats="0" applyWidthHeightFormats="0">
  <queryTableRefresh nextId="4">
    <queryTableFields count="3">
      <queryTableField id="1" name="team_id" tableColumnId="1"/>
      <queryTableField id="2" name="team" tableColumnId="2"/>
      <queryTableField id="3" name="departm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3AB7214-6476-44B8-8D48-0D0EAD8598C3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102A6-11AF-4833-8AC1-D11203F206BC}" name="tickets" displayName="tickets" ref="A1:F14" tableType="queryTable" totalsRowShown="0">
  <autoFilter ref="A1:F14" xr:uid="{C49102A6-11AF-4833-8AC1-D11203F206BC}"/>
  <tableColumns count="6">
    <tableColumn id="1" xr3:uid="{770965ED-18F8-412C-A1C2-A0470F1CD37D}" uniqueName="1" name="ticket_id" queryTableFieldId="1"/>
    <tableColumn id="2" xr3:uid="{E5C88BF0-DE9B-43F5-8AB1-D545E6B97400}" uniqueName="2" name="month" queryTableFieldId="2" dataDxfId="10"/>
    <tableColumn id="3" xr3:uid="{ED8AC257-DEB5-49EF-8FDE-C0E748FE3530}" uniqueName="3" name="team_id" queryTableFieldId="3" dataDxfId="9"/>
    <tableColumn id="4" xr3:uid="{A7CE2B7D-16C0-45C7-83EA-3868B838B3E4}" uniqueName="4" name="channel" queryTableFieldId="4" dataDxfId="8"/>
    <tableColumn id="5" xr3:uid="{D5C02531-9FCF-4C94-A713-1C1A895E8873}" uniqueName="5" name="resolution_hours" queryTableFieldId="5"/>
    <tableColumn id="6" xr3:uid="{5523509A-3CC6-46CF-A703-E2938D8F9A30}" uniqueName="6" name="satisfacti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A4B62-470B-4DE4-B5AB-45268F08AAB1}" name="teams" displayName="teams" ref="A1:C5" tableType="queryTable" totalsRowShown="0">
  <autoFilter ref="A1:C5" xr:uid="{F16A4B62-470B-4DE4-B5AB-45268F08AAB1}"/>
  <tableColumns count="3">
    <tableColumn id="1" xr3:uid="{E00691F5-B285-41CF-99F6-A79F29991D82}" uniqueName="1" name="team_id" queryTableFieldId="1" dataDxfId="7"/>
    <tableColumn id="2" xr3:uid="{04B8FFD9-6E85-453F-A9BE-03ADF5AC6F10}" uniqueName="2" name="team" queryTableFieldId="2" dataDxfId="6"/>
    <tableColumn id="3" xr3:uid="{7E9B6605-C1E4-47F6-883C-F3FA245989EF}" uniqueName="3" name="department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94472A-F88F-421D-A4C1-CF41D69A211B}" name="tickets5" displayName="tickets5" ref="A1:H13" tableType="queryTable" totalsRowShown="0">
  <autoFilter ref="A1:H13" xr:uid="{EC94472A-F88F-421D-A4C1-CF41D69A211B}"/>
  <tableColumns count="8">
    <tableColumn id="1" xr3:uid="{FFFFE4B8-49F3-470D-A93E-04520FED5608}" uniqueName="1" name="ticket_id" queryTableFieldId="1"/>
    <tableColumn id="2" xr3:uid="{B57E8B6D-ED3E-49A4-B2E3-8E6806AD71EB}" uniqueName="2" name="month" queryTableFieldId="2" dataDxfId="4"/>
    <tableColumn id="3" xr3:uid="{D396C902-16E7-4A1F-AA1D-681EE2FE8003}" uniqueName="3" name="team_id" queryTableFieldId="3" dataDxfId="3"/>
    <tableColumn id="4" xr3:uid="{DC9C8DA5-C766-4FFC-ADC8-F59EA7D1B3A4}" uniqueName="4" name="channel" queryTableFieldId="4" dataDxfId="2"/>
    <tableColumn id="5" xr3:uid="{D4C502D9-E6DF-4121-8222-65DDBBD8A55A}" uniqueName="5" name="resolution_hours" queryTableFieldId="5"/>
    <tableColumn id="6" xr3:uid="{63B717AD-1595-46F5-AC5B-259AD5FC4834}" uniqueName="6" name="satisfaction" queryTableFieldId="6"/>
    <tableColumn id="7" xr3:uid="{5104437D-188C-4C94-8772-8EC963BDCE64}" uniqueName="7" name="department" queryTableFieldId="7" dataDxfId="1">
      <calculatedColumnFormula xml:space="preserve"> _xlfn.XLOOKUP(C2, 'Lookup sheet'!A:A,'Lookup sheet'!C:C)</calculatedColumnFormula>
    </tableColumn>
    <tableColumn id="8" xr3:uid="{27558649-D5C6-4642-9CE4-3F9B009B0D39}" uniqueName="8" name="breach_flag" queryTableFieldId="8" dataDxfId="0">
      <calculatedColumnFormula>IF(E2&gt;24,1,0)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A2C2-7548-4A3E-92F2-389CEEB292B6}">
  <dimension ref="A1:F14"/>
  <sheetViews>
    <sheetView workbookViewId="0">
      <selection activeCell="E24" sqref="E24"/>
    </sheetView>
  </sheetViews>
  <sheetFormatPr defaultRowHeight="14.4" x14ac:dyDescent="0.3"/>
  <cols>
    <col min="1" max="1" width="10.5546875" bestFit="1" customWidth="1"/>
    <col min="2" max="2" width="8.5546875" bestFit="1" customWidth="1"/>
    <col min="3" max="3" width="10" bestFit="1" customWidth="1"/>
    <col min="4" max="4" width="9.77734375" bestFit="1" customWidth="1"/>
    <col min="5" max="5" width="17" bestFit="1" customWidth="1"/>
    <col min="6" max="6" width="1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12</v>
      </c>
      <c r="F2">
        <v>4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28</v>
      </c>
      <c r="F3">
        <v>3</v>
      </c>
    </row>
    <row r="4" spans="1:6" x14ac:dyDescent="0.3">
      <c r="A4">
        <v>3</v>
      </c>
      <c r="B4" s="1" t="s">
        <v>6</v>
      </c>
      <c r="C4" s="1" t="s">
        <v>11</v>
      </c>
      <c r="D4" s="1" t="s">
        <v>12</v>
      </c>
      <c r="E4">
        <v>36</v>
      </c>
      <c r="F4">
        <v>2</v>
      </c>
    </row>
    <row r="5" spans="1:6" x14ac:dyDescent="0.3">
      <c r="A5">
        <v>4</v>
      </c>
      <c r="B5" s="1" t="s">
        <v>6</v>
      </c>
      <c r="C5" s="1" t="s">
        <v>13</v>
      </c>
      <c r="D5" s="1" t="s">
        <v>8</v>
      </c>
      <c r="E5">
        <v>20</v>
      </c>
      <c r="F5">
        <v>4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8</v>
      </c>
      <c r="F6">
        <v>5</v>
      </c>
    </row>
    <row r="7" spans="1:6" x14ac:dyDescent="0.3">
      <c r="A7">
        <v>6</v>
      </c>
      <c r="B7" s="1" t="s">
        <v>14</v>
      </c>
      <c r="C7" s="1" t="s">
        <v>9</v>
      </c>
      <c r="D7" s="1" t="s">
        <v>12</v>
      </c>
      <c r="E7">
        <v>30</v>
      </c>
      <c r="F7">
        <v>3</v>
      </c>
    </row>
    <row r="8" spans="1:6" x14ac:dyDescent="0.3">
      <c r="A8">
        <v>7</v>
      </c>
      <c r="B8" s="1" t="s">
        <v>14</v>
      </c>
      <c r="C8" s="1" t="s">
        <v>11</v>
      </c>
      <c r="D8" s="1" t="s">
        <v>8</v>
      </c>
      <c r="E8">
        <v>18</v>
      </c>
      <c r="F8">
        <v>4</v>
      </c>
    </row>
    <row r="9" spans="1:6" x14ac:dyDescent="0.3">
      <c r="A9">
        <v>8</v>
      </c>
      <c r="B9" s="1" t="s">
        <v>14</v>
      </c>
      <c r="C9" s="1" t="s">
        <v>13</v>
      </c>
      <c r="D9" s="1" t="s">
        <v>10</v>
      </c>
      <c r="E9">
        <v>40</v>
      </c>
      <c r="F9">
        <v>2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12</v>
      </c>
      <c r="E10">
        <v>16</v>
      </c>
      <c r="F10">
        <v>4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22</v>
      </c>
      <c r="F11">
        <v>4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32</v>
      </c>
      <c r="F12">
        <v>3</v>
      </c>
    </row>
    <row r="13" spans="1:6" x14ac:dyDescent="0.3">
      <c r="A13">
        <v>12</v>
      </c>
      <c r="B13" s="1" t="s">
        <v>15</v>
      </c>
      <c r="C13" s="1" t="s">
        <v>13</v>
      </c>
      <c r="D13" s="1" t="s">
        <v>12</v>
      </c>
      <c r="E13">
        <v>24</v>
      </c>
      <c r="F13">
        <v>5</v>
      </c>
    </row>
    <row r="14" spans="1:6" x14ac:dyDescent="0.3">
      <c r="A14">
        <v>12</v>
      </c>
      <c r="B14" s="1" t="s">
        <v>15</v>
      </c>
      <c r="C14" s="1" t="s">
        <v>13</v>
      </c>
      <c r="D14" s="1" t="s">
        <v>12</v>
      </c>
      <c r="E14">
        <v>24</v>
      </c>
      <c r="F1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DBEE-3E5A-4EF1-BF47-5FE903F30AD5}">
  <dimension ref="A1:C5"/>
  <sheetViews>
    <sheetView workbookViewId="0">
      <selection activeCell="C9" sqref="C9"/>
    </sheetView>
  </sheetViews>
  <sheetFormatPr defaultRowHeight="14.4" x14ac:dyDescent="0.3"/>
  <cols>
    <col min="1" max="1" width="10" bestFit="1" customWidth="1"/>
    <col min="2" max="2" width="11.5546875" bestFit="1" customWidth="1"/>
    <col min="3" max="3" width="13.10937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D857-FF40-4743-8CBF-81C0E0DE49C3}">
  <dimension ref="A1:H13"/>
  <sheetViews>
    <sheetView workbookViewId="0">
      <selection activeCell="G26" sqref="G26"/>
    </sheetView>
  </sheetViews>
  <sheetFormatPr defaultRowHeight="14.4" x14ac:dyDescent="0.3"/>
  <cols>
    <col min="2" max="2" width="8.5546875" bestFit="1" customWidth="1"/>
    <col min="3" max="3" width="10" bestFit="1" customWidth="1"/>
    <col min="4" max="4" width="9.77734375" bestFit="1" customWidth="1"/>
    <col min="5" max="5" width="17" bestFit="1" customWidth="1"/>
    <col min="6" max="6" width="13" bestFit="1" customWidth="1"/>
    <col min="7" max="7" width="13.109375" bestFit="1" customWidth="1"/>
    <col min="8" max="8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24</v>
      </c>
    </row>
    <row r="2" spans="1:8" x14ac:dyDescent="0.3">
      <c r="A2">
        <v>1</v>
      </c>
      <c r="B2" s="1" t="s">
        <v>6</v>
      </c>
      <c r="C2" s="1" t="s">
        <v>7</v>
      </c>
      <c r="D2" s="1" t="s">
        <v>8</v>
      </c>
      <c r="E2">
        <v>12</v>
      </c>
      <c r="F2">
        <v>4</v>
      </c>
      <c r="G2" s="1" t="str">
        <f xml:space="preserve"> _xlfn.XLOOKUP(C2, 'Lookup sheet'!A:A,'Lookup sheet'!C:C)</f>
        <v>Service</v>
      </c>
      <c r="H2">
        <f t="shared" ref="H2:H13" si="0">IF(E2&gt;24,1,0)</f>
        <v>0</v>
      </c>
    </row>
    <row r="3" spans="1:8" x14ac:dyDescent="0.3">
      <c r="A3">
        <v>2</v>
      </c>
      <c r="B3" s="1" t="s">
        <v>6</v>
      </c>
      <c r="C3" s="1" t="s">
        <v>9</v>
      </c>
      <c r="D3" s="1" t="s">
        <v>10</v>
      </c>
      <c r="E3">
        <v>28</v>
      </c>
      <c r="F3">
        <v>3</v>
      </c>
      <c r="G3" s="1" t="str">
        <f xml:space="preserve"> _xlfn.XLOOKUP(C3, 'Lookup sheet'!A:A,'Lookup sheet'!C:C)</f>
        <v>Service</v>
      </c>
      <c r="H3" s="1">
        <f t="shared" si="0"/>
        <v>1</v>
      </c>
    </row>
    <row r="4" spans="1:8" x14ac:dyDescent="0.3">
      <c r="A4">
        <v>3</v>
      </c>
      <c r="B4" s="1" t="s">
        <v>6</v>
      </c>
      <c r="C4" s="1" t="s">
        <v>11</v>
      </c>
      <c r="D4" s="1" t="s">
        <v>12</v>
      </c>
      <c r="E4">
        <v>36</v>
      </c>
      <c r="F4">
        <v>2</v>
      </c>
      <c r="G4" s="1" t="str">
        <f xml:space="preserve"> _xlfn.XLOOKUP(C4, 'Lookup sheet'!A:A,'Lookup sheet'!C:C)</f>
        <v>Technical</v>
      </c>
      <c r="H4" s="1">
        <f t="shared" si="0"/>
        <v>1</v>
      </c>
    </row>
    <row r="5" spans="1:8" x14ac:dyDescent="0.3">
      <c r="A5">
        <v>4</v>
      </c>
      <c r="B5" s="1" t="s">
        <v>6</v>
      </c>
      <c r="C5" s="1" t="s">
        <v>13</v>
      </c>
      <c r="D5" s="1" t="s">
        <v>8</v>
      </c>
      <c r="E5">
        <v>20</v>
      </c>
      <c r="F5">
        <v>4</v>
      </c>
      <c r="G5" s="1" t="str">
        <f xml:space="preserve"> _xlfn.XLOOKUP(C5, 'Lookup sheet'!A:A,'Lookup sheet'!C:C)</f>
        <v>Technical</v>
      </c>
      <c r="H5" s="1">
        <f t="shared" si="0"/>
        <v>0</v>
      </c>
    </row>
    <row r="6" spans="1:8" x14ac:dyDescent="0.3">
      <c r="A6">
        <v>5</v>
      </c>
      <c r="B6" s="1" t="s">
        <v>14</v>
      </c>
      <c r="C6" s="1" t="s">
        <v>7</v>
      </c>
      <c r="D6" s="1" t="s">
        <v>10</v>
      </c>
      <c r="E6">
        <v>8</v>
      </c>
      <c r="F6">
        <v>5</v>
      </c>
      <c r="G6" s="1" t="str">
        <f xml:space="preserve"> _xlfn.XLOOKUP(C6, 'Lookup sheet'!A:A,'Lookup sheet'!C:C)</f>
        <v>Service</v>
      </c>
      <c r="H6" s="1">
        <f t="shared" si="0"/>
        <v>0</v>
      </c>
    </row>
    <row r="7" spans="1:8" x14ac:dyDescent="0.3">
      <c r="A7">
        <v>6</v>
      </c>
      <c r="B7" s="1" t="s">
        <v>14</v>
      </c>
      <c r="C7" s="1" t="s">
        <v>9</v>
      </c>
      <c r="D7" s="1" t="s">
        <v>12</v>
      </c>
      <c r="E7">
        <v>30</v>
      </c>
      <c r="F7">
        <v>3</v>
      </c>
      <c r="G7" s="1" t="str">
        <f xml:space="preserve"> _xlfn.XLOOKUP(C7, 'Lookup sheet'!A:A,'Lookup sheet'!C:C)</f>
        <v>Service</v>
      </c>
      <c r="H7" s="1">
        <f t="shared" si="0"/>
        <v>1</v>
      </c>
    </row>
    <row r="8" spans="1:8" x14ac:dyDescent="0.3">
      <c r="A8">
        <v>7</v>
      </c>
      <c r="B8" s="1" t="s">
        <v>14</v>
      </c>
      <c r="C8" s="1" t="s">
        <v>11</v>
      </c>
      <c r="D8" s="1" t="s">
        <v>8</v>
      </c>
      <c r="E8">
        <v>18</v>
      </c>
      <c r="F8">
        <v>4</v>
      </c>
      <c r="G8" s="1" t="str">
        <f xml:space="preserve"> _xlfn.XLOOKUP(C8, 'Lookup sheet'!A:A,'Lookup sheet'!C:C)</f>
        <v>Technical</v>
      </c>
      <c r="H8" s="1">
        <f t="shared" si="0"/>
        <v>0</v>
      </c>
    </row>
    <row r="9" spans="1:8" x14ac:dyDescent="0.3">
      <c r="A9">
        <v>8</v>
      </c>
      <c r="B9" s="1" t="s">
        <v>14</v>
      </c>
      <c r="C9" s="1" t="s">
        <v>13</v>
      </c>
      <c r="D9" s="1" t="s">
        <v>10</v>
      </c>
      <c r="E9">
        <v>40</v>
      </c>
      <c r="F9">
        <v>2</v>
      </c>
      <c r="G9" s="1" t="str">
        <f xml:space="preserve"> _xlfn.XLOOKUP(C9, 'Lookup sheet'!A:A,'Lookup sheet'!C:C)</f>
        <v>Technical</v>
      </c>
      <c r="H9" s="1">
        <f t="shared" si="0"/>
        <v>1</v>
      </c>
    </row>
    <row r="10" spans="1:8" x14ac:dyDescent="0.3">
      <c r="A10">
        <v>9</v>
      </c>
      <c r="B10" s="1" t="s">
        <v>15</v>
      </c>
      <c r="C10" s="1" t="s">
        <v>7</v>
      </c>
      <c r="D10" s="1" t="s">
        <v>12</v>
      </c>
      <c r="E10">
        <v>16</v>
      </c>
      <c r="F10">
        <v>4</v>
      </c>
      <c r="G10" s="1" t="str">
        <f xml:space="preserve"> _xlfn.XLOOKUP(C10, 'Lookup sheet'!A:A,'Lookup sheet'!C:C)</f>
        <v>Service</v>
      </c>
      <c r="H10" s="1">
        <f t="shared" si="0"/>
        <v>0</v>
      </c>
    </row>
    <row r="11" spans="1:8" x14ac:dyDescent="0.3">
      <c r="A11">
        <v>10</v>
      </c>
      <c r="B11" s="1" t="s">
        <v>15</v>
      </c>
      <c r="C11" s="1" t="s">
        <v>9</v>
      </c>
      <c r="D11" s="1" t="s">
        <v>8</v>
      </c>
      <c r="E11">
        <v>22</v>
      </c>
      <c r="F11">
        <v>4</v>
      </c>
      <c r="G11" s="1" t="str">
        <f xml:space="preserve"> _xlfn.XLOOKUP(C11, 'Lookup sheet'!A:A,'Lookup sheet'!C:C)</f>
        <v>Service</v>
      </c>
      <c r="H11" s="1">
        <f t="shared" si="0"/>
        <v>0</v>
      </c>
    </row>
    <row r="12" spans="1:8" x14ac:dyDescent="0.3">
      <c r="A12">
        <v>11</v>
      </c>
      <c r="B12" s="1" t="s">
        <v>15</v>
      </c>
      <c r="C12" s="1" t="s">
        <v>11</v>
      </c>
      <c r="D12" s="1" t="s">
        <v>10</v>
      </c>
      <c r="E12">
        <v>32</v>
      </c>
      <c r="F12">
        <v>3</v>
      </c>
      <c r="G12" s="1" t="str">
        <f xml:space="preserve"> _xlfn.XLOOKUP(C12, 'Lookup sheet'!A:A,'Lookup sheet'!C:C)</f>
        <v>Technical</v>
      </c>
      <c r="H12" s="1">
        <f t="shared" si="0"/>
        <v>1</v>
      </c>
    </row>
    <row r="13" spans="1:8" x14ac:dyDescent="0.3">
      <c r="A13">
        <v>12</v>
      </c>
      <c r="B13" s="1" t="s">
        <v>15</v>
      </c>
      <c r="C13" s="1" t="s">
        <v>13</v>
      </c>
      <c r="D13" s="1" t="s">
        <v>12</v>
      </c>
      <c r="E13">
        <v>24</v>
      </c>
      <c r="F13">
        <v>5</v>
      </c>
      <c r="G13" s="1" t="str">
        <f xml:space="preserve"> _xlfn.XLOOKUP(C13, 'Lookup sheet'!A:A,'Lookup sheet'!C:C)</f>
        <v>Technical</v>
      </c>
      <c r="H13" s="1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E24A-CFDF-4656-9DA1-4AA3CE0E5EFD}">
  <dimension ref="A1:E11"/>
  <sheetViews>
    <sheetView tabSelected="1" workbookViewId="0">
      <selection activeCell="M28" sqref="M28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4.109375" bestFit="1" customWidth="1"/>
    <col min="4" max="4" width="5" bestFit="1" customWidth="1"/>
    <col min="5" max="5" width="12" bestFit="1" customWidth="1"/>
  </cols>
  <sheetData>
    <row r="1" spans="1:5" x14ac:dyDescent="0.3">
      <c r="A1" s="2" t="s">
        <v>3</v>
      </c>
      <c r="B1" s="2" t="s">
        <v>25</v>
      </c>
    </row>
    <row r="2" spans="1:5" x14ac:dyDescent="0.3">
      <c r="A2" s="5" t="s">
        <v>8</v>
      </c>
      <c r="B2" s="3">
        <f xml:space="preserve"> COUNTIFS('clean sheet'!D:D,"Email",'clean sheet'!H:H,1)</f>
        <v>0</v>
      </c>
    </row>
    <row r="3" spans="1:5" x14ac:dyDescent="0.3">
      <c r="A3" s="6" t="s">
        <v>10</v>
      </c>
      <c r="B3" s="4">
        <f xml:space="preserve"> COUNTIFS('clean sheet'!D:D,"Chat",'clean sheet'!H:H,1)</f>
        <v>3</v>
      </c>
    </row>
    <row r="4" spans="1:5" x14ac:dyDescent="0.3">
      <c r="A4" s="5" t="s">
        <v>12</v>
      </c>
      <c r="B4" s="3">
        <f xml:space="preserve"> COUNTIFS('clean sheet'!D:D,"Phone",'clean sheet'!H:H,1)</f>
        <v>2</v>
      </c>
    </row>
    <row r="7" spans="1:5" x14ac:dyDescent="0.3">
      <c r="A7" s="7" t="s">
        <v>29</v>
      </c>
      <c r="B7" s="7" t="s">
        <v>28</v>
      </c>
    </row>
    <row r="8" spans="1:5" x14ac:dyDescent="0.3">
      <c r="A8" s="7" t="s">
        <v>26</v>
      </c>
      <c r="B8" t="s">
        <v>6</v>
      </c>
      <c r="C8" t="s">
        <v>14</v>
      </c>
      <c r="D8" t="s">
        <v>15</v>
      </c>
      <c r="E8" t="s">
        <v>27</v>
      </c>
    </row>
    <row r="9" spans="1:5" x14ac:dyDescent="0.3">
      <c r="A9" s="8" t="s">
        <v>19</v>
      </c>
      <c r="B9" s="1">
        <v>20</v>
      </c>
      <c r="C9" s="1">
        <v>19</v>
      </c>
      <c r="D9" s="1">
        <v>19</v>
      </c>
      <c r="E9" s="1">
        <v>19.333333333333332</v>
      </c>
    </row>
    <row r="10" spans="1:5" x14ac:dyDescent="0.3">
      <c r="A10" s="8" t="s">
        <v>22</v>
      </c>
      <c r="B10" s="1">
        <v>28</v>
      </c>
      <c r="C10" s="1">
        <v>29</v>
      </c>
      <c r="D10" s="1">
        <v>28</v>
      </c>
      <c r="E10" s="1">
        <v>28.333333333333332</v>
      </c>
    </row>
    <row r="11" spans="1:5" x14ac:dyDescent="0.3">
      <c r="A11" s="8" t="s">
        <v>27</v>
      </c>
      <c r="B11" s="1">
        <v>24</v>
      </c>
      <c r="C11" s="1">
        <v>24</v>
      </c>
      <c r="D11" s="1">
        <v>23.5</v>
      </c>
      <c r="E11" s="1">
        <v>23.833333333333332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488B1-1851-43EE-943D-EB73AEF11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Sheet</vt:lpstr>
      <vt:lpstr>Lookup sheet</vt:lpstr>
      <vt:lpstr>clean sheet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Prajapati</dc:creator>
  <cp:lastModifiedBy>Jeel Prajapati</cp:lastModifiedBy>
  <dcterms:created xsi:type="dcterms:W3CDTF">2026-10-03T05:49:10Z</dcterms:created>
  <dcterms:modified xsi:type="dcterms:W3CDTF">2026-10-03T08:06:23Z</dcterms:modified>
</cp:coreProperties>
</file>